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e188bf86570271f/Documents/GitHub/SMD3-Structures-Lab-Report/"/>
    </mc:Choice>
  </mc:AlternateContent>
  <xr:revisionPtr revIDLastSave="154" documentId="11_0B1D56BE9CDCCE836B02CE7A5FB0D4A9BBFD1C62" xr6:coauthVersionLast="47" xr6:coauthVersionMax="47" xr10:uidLastSave="{7C59CB38-48B9-4236-8B03-6A38151456D8}"/>
  <bookViews>
    <workbookView xWindow="20" yWindow="20" windowWidth="19180" windowHeight="100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3" i="1"/>
  <c r="K4" i="1"/>
  <c r="K5" i="1"/>
  <c r="K6" i="1"/>
  <c r="K7" i="1"/>
  <c r="K3" i="1"/>
  <c r="H4" i="1"/>
  <c r="H5" i="1"/>
  <c r="H6" i="1"/>
  <c r="H7" i="1"/>
  <c r="H3" i="1"/>
  <c r="I3" i="1"/>
  <c r="H2" i="1"/>
  <c r="E3" i="1"/>
  <c r="E4" i="1"/>
  <c r="E5" i="1"/>
  <c r="E6" i="1"/>
  <c r="E7" i="1"/>
  <c r="E2" i="1"/>
  <c r="B4" i="1"/>
  <c r="I4" i="1" s="1"/>
  <c r="B5" i="1"/>
  <c r="I5" i="1" s="1"/>
  <c r="B6" i="1"/>
  <c r="I6" i="1" s="1"/>
  <c r="B7" i="1"/>
  <c r="I7" i="1" s="1"/>
  <c r="B3" i="1"/>
</calcChain>
</file>

<file path=xl/sharedStrings.xml><?xml version="1.0" encoding="utf-8"?>
<sst xmlns="http://schemas.openxmlformats.org/spreadsheetml/2006/main" count="11" uniqueCount="11">
  <si>
    <t>Offset Weight (N)</t>
  </si>
  <si>
    <t>Weight</t>
  </si>
  <si>
    <t>H_D 1 (m)</t>
  </si>
  <si>
    <t>H_D 2 (m)</t>
  </si>
  <si>
    <t>Mean H_D (m)</t>
  </si>
  <si>
    <t xml:space="preserve">V_D 1 (m) </t>
  </si>
  <si>
    <t>V_D 2 (m)</t>
  </si>
  <si>
    <t>Mean V_D (m)</t>
  </si>
  <si>
    <t>Error in Weight (m)</t>
  </si>
  <si>
    <t>Error in H_D (m)</t>
  </si>
  <si>
    <t>Error in V_D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</si>
</sst>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12"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64" formatCode="0.000"/>
    </dxf>
    <dxf>
      <numFmt numFmtId="164" formatCode="0.00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5CE1C-F989-4FC0-8A09-3824A70DB224}" name="Table1" displayName="Table1" ref="A1:K7" totalsRowShown="0" headerRowDxfId="0">
  <autoFilter ref="A1:K7" xr:uid="{E435CE1C-F989-4FC0-8A09-3824A70DB224}"/>
  <tableColumns count="11">
    <tableColumn id="1" xr3:uid="{AC23A5CE-F338-41B2-BE43-83F722BB60F0}" name="Offset Weight (N)" dataDxfId="11"/>
    <tableColumn id="2" xr3:uid="{A7549B9D-3A9E-487F-8212-6391FF1BC30F}" name="Weight" dataDxfId="10">
      <calculatedColumnFormula>A2+9.81*0.1</calculatedColumnFormula>
    </tableColumn>
    <tableColumn id="3" xr3:uid="{051571F2-C33F-46A4-8B89-3E506DA18C42}" name="H_D 1 (m)" dataDxfId="9"/>
    <tableColumn id="4" xr3:uid="{4B69CF42-EAB1-45E0-8B86-004FFD0848E9}" name="H_D 2 (m)" dataDxfId="8"/>
    <tableColumn id="5" xr3:uid="{E121FF64-7961-42E5-89ED-2EAA01D4BCE9}" name="Mean H_D (m)" dataDxfId="7">
      <calculatedColumnFormula>AVERAGE(C2:D2)</calculatedColumnFormula>
    </tableColumn>
    <tableColumn id="6" xr3:uid="{C2CE9B89-16FE-4608-A2D1-E9351BD76DD3}" name="V_D 1 (m) " dataDxfId="6"/>
    <tableColumn id="7" xr3:uid="{A0A323B8-F368-44CC-8DB4-0E8EF28C823C}" name="V_D 2 (m)" dataDxfId="5"/>
    <tableColumn id="8" xr3:uid="{696EE1B7-610E-4291-94FC-549303D561A0}" name="Mean V_D (m)" dataDxfId="4">
      <calculatedColumnFormula>(F2+G2)/2</calculatedColumnFormula>
    </tableColumn>
    <tableColumn id="9" xr3:uid="{A244E44C-71A4-4D3B-89BD-D5A9D014759F}" name="Error in Weight (m)" dataDxfId="3">
      <calculatedColumnFormula>(0.001/0.1 * 0.981)/B2</calculatedColumnFormula>
    </tableColumn>
    <tableColumn id="10" xr3:uid="{896A03F5-F023-4636-9CDC-8871965A9F2F}" name="Error in H_D (m)" dataDxfId="2">
      <calculatedColumnFormula>ABS(D2-C2)/(2)</calculatedColumnFormula>
    </tableColumn>
    <tableColumn id="11" xr3:uid="{B4021A6C-84B1-49FB-A7D0-870ECA81D8ED}" name="Error in V_D (m)" dataDxfId="1">
      <calculatedColumnFormula>ABS(G2-F2)/(2)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workbookViewId="0">
      <selection activeCell="C10" sqref="C10"/>
    </sheetView>
  </sheetViews>
  <sheetFormatPr defaultColWidth="9.1796875" defaultRowHeight="14.5" x14ac:dyDescent="0.35"/>
  <cols>
    <col min="1" max="1" width="17" style="1" customWidth="1"/>
    <col min="2" max="2" width="10.453125" style="1" bestFit="1" customWidth="1"/>
    <col min="3" max="3" width="21" style="3" bestFit="1" customWidth="1"/>
    <col min="4" max="5" width="19.54296875" style="3" customWidth="1"/>
    <col min="6" max="6" width="17.1796875" style="3" bestFit="1" customWidth="1"/>
    <col min="7" max="7" width="17.1796875" style="3" customWidth="1"/>
    <col min="8" max="8" width="14.1796875" style="3" customWidth="1"/>
    <col min="9" max="9" width="18.1796875" style="3" customWidth="1"/>
    <col min="10" max="10" width="15.7265625" style="3" customWidth="1"/>
    <col min="11" max="11" width="15.54296875" style="3" customWidth="1"/>
    <col min="12" max="16384" width="9.1796875" style="2"/>
  </cols>
  <sheetData>
    <row r="1" spans="1:11" x14ac:dyDescent="0.3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5">
      <c r="A2" s="1">
        <v>0</v>
      </c>
      <c r="B2" s="1">
        <v>0</v>
      </c>
      <c r="C2" s="3">
        <v>-1.4999999999999999E-4</v>
      </c>
      <c r="D2" s="3">
        <v>2.0000000000000002E-5</v>
      </c>
      <c r="E2" s="3">
        <f>AVERAGE(C2:D2)</f>
        <v>-6.4999999999999994E-5</v>
      </c>
      <c r="F2" s="3">
        <v>-5.0000000000000002E-5</v>
      </c>
      <c r="G2" s="3">
        <v>5.0000000000000002E-5</v>
      </c>
      <c r="H2" s="3">
        <f>F2+G2</f>
        <v>0</v>
      </c>
      <c r="I2" s="3">
        <v>0</v>
      </c>
      <c r="J2" s="3">
        <v>0</v>
      </c>
      <c r="K2" s="3">
        <v>0</v>
      </c>
    </row>
    <row r="3" spans="1:11" x14ac:dyDescent="0.35">
      <c r="A3" s="1">
        <v>2</v>
      </c>
      <c r="B3" s="1">
        <f>A3+9.81*0.1</f>
        <v>2.9809999999999999</v>
      </c>
      <c r="C3" s="3">
        <v>7.1000000000000002E-4</v>
      </c>
      <c r="D3" s="3">
        <v>1.33E-3</v>
      </c>
      <c r="E3" s="3">
        <f t="shared" ref="E3:E7" si="0">AVERAGE(C3:D3)</f>
        <v>1.0200000000000001E-3</v>
      </c>
      <c r="F3" s="3">
        <v>6.7000000000000002E-4</v>
      </c>
      <c r="G3" s="3">
        <v>1.0499999999999999E-3</v>
      </c>
      <c r="H3" s="3">
        <f>(F3+G3)/2</f>
        <v>8.5999999999999998E-4</v>
      </c>
      <c r="I3" s="3">
        <f>(0.001/0.1 * 0.981)/B3</f>
        <v>3.290841999329084E-3</v>
      </c>
      <c r="J3" s="3">
        <f>ABS(D3-C3)/(2)</f>
        <v>3.1E-4</v>
      </c>
      <c r="K3" s="3">
        <f>ABS(G3-F3)/(2)</f>
        <v>1.8999999999999996E-4</v>
      </c>
    </row>
    <row r="4" spans="1:11" x14ac:dyDescent="0.35">
      <c r="A4" s="1">
        <v>4</v>
      </c>
      <c r="B4" s="1">
        <f t="shared" ref="B4:B7" si="1">A4+9.81*0.1</f>
        <v>4.9809999999999999</v>
      </c>
      <c r="C4" s="3">
        <v>2.0799999999999998E-3</v>
      </c>
      <c r="D4" s="3">
        <v>2.4199999999999998E-3</v>
      </c>
      <c r="E4" s="3">
        <f t="shared" si="0"/>
        <v>2.2499999999999998E-3</v>
      </c>
      <c r="F4" s="3">
        <v>1.7700000000000001E-3</v>
      </c>
      <c r="G4" s="3">
        <v>1.9499999999999999E-3</v>
      </c>
      <c r="H4" s="3">
        <f t="shared" ref="H4:H7" si="2">(F4+G4)/2</f>
        <v>1.8600000000000001E-3</v>
      </c>
      <c r="I4" s="3">
        <f>(0.001/0.1 * 0.981)/B4</f>
        <v>1.9694840393495281E-3</v>
      </c>
      <c r="J4" s="3">
        <f t="shared" ref="J4:J7" si="3">ABS(D4-C4)/(2)</f>
        <v>1.7000000000000001E-4</v>
      </c>
      <c r="K4" s="3">
        <f t="shared" ref="K4:K7" si="4">ABS(G4-F4)/(2)</f>
        <v>8.9999999999999911E-5</v>
      </c>
    </row>
    <row r="5" spans="1:11" x14ac:dyDescent="0.35">
      <c r="A5" s="1">
        <v>6</v>
      </c>
      <c r="B5" s="1">
        <f t="shared" si="1"/>
        <v>6.9809999999999999</v>
      </c>
      <c r="C5" s="3">
        <v>3.0799999999999998E-3</v>
      </c>
      <c r="D5" s="3">
        <v>3.7699999999999999E-3</v>
      </c>
      <c r="E5" s="3">
        <f t="shared" si="0"/>
        <v>3.4250000000000001E-3</v>
      </c>
      <c r="F5" s="3">
        <v>2.64E-3</v>
      </c>
      <c r="G5" s="3">
        <v>3.0200000000000001E-3</v>
      </c>
      <c r="H5" s="3">
        <f t="shared" si="2"/>
        <v>2.8300000000000001E-3</v>
      </c>
      <c r="I5" s="3">
        <f>(0.001/0.1 * 0.981)/B5</f>
        <v>1.4052428018908466E-3</v>
      </c>
      <c r="J5" s="3">
        <f t="shared" si="3"/>
        <v>3.4500000000000004E-4</v>
      </c>
      <c r="K5" s="3">
        <f t="shared" si="4"/>
        <v>1.9000000000000006E-4</v>
      </c>
    </row>
    <row r="6" spans="1:11" x14ac:dyDescent="0.35">
      <c r="A6" s="1">
        <v>8</v>
      </c>
      <c r="B6" s="1">
        <f t="shared" si="1"/>
        <v>8.9809999999999999</v>
      </c>
      <c r="C6" s="3">
        <v>4.1700000000000001E-3</v>
      </c>
      <c r="D6" s="3">
        <v>5.0600000000000003E-3</v>
      </c>
      <c r="E6" s="3">
        <f t="shared" si="0"/>
        <v>4.6150000000000002E-3</v>
      </c>
      <c r="F6" s="3">
        <v>3.5500000000000002E-3</v>
      </c>
      <c r="G6" s="3">
        <v>4.0400000000000002E-3</v>
      </c>
      <c r="H6" s="3">
        <f t="shared" si="2"/>
        <v>3.7950000000000002E-3</v>
      </c>
      <c r="I6" s="3">
        <f>(0.001/0.1 * 0.981)/B6</f>
        <v>1.0923059792896114E-3</v>
      </c>
      <c r="J6" s="3">
        <f t="shared" si="3"/>
        <v>4.4500000000000008E-4</v>
      </c>
      <c r="K6" s="3">
        <f t="shared" si="4"/>
        <v>2.4499999999999999E-4</v>
      </c>
    </row>
    <row r="7" spans="1:11" x14ac:dyDescent="0.35">
      <c r="A7" s="1">
        <v>9.8239999999999998</v>
      </c>
      <c r="B7" s="1">
        <f t="shared" si="1"/>
        <v>10.805</v>
      </c>
      <c r="C7" s="3">
        <v>5.45E-3</v>
      </c>
      <c r="D7" s="3">
        <v>5.3800000000000002E-3</v>
      </c>
      <c r="E7" s="3">
        <f t="shared" si="0"/>
        <v>5.4149999999999997E-3</v>
      </c>
      <c r="F7" s="3">
        <v>4.4999999999999997E-3</v>
      </c>
      <c r="G7" s="3">
        <v>4.5100000000000001E-3</v>
      </c>
      <c r="H7" s="3">
        <f t="shared" si="2"/>
        <v>4.5050000000000003E-3</v>
      </c>
      <c r="I7" s="3">
        <f>(0.001/0.1 * 0.981)/B7</f>
        <v>9.0791300323924101E-4</v>
      </c>
      <c r="J7" s="3">
        <f t="shared" si="3"/>
        <v>3.4999999999999875E-5</v>
      </c>
      <c r="K7" s="3">
        <f t="shared" si="4"/>
        <v>5.00000000000023E-6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Raven Callaghan</cp:lastModifiedBy>
  <cp:revision/>
  <dcterms:created xsi:type="dcterms:W3CDTF">2025-11-16T16:29:05Z</dcterms:created>
  <dcterms:modified xsi:type="dcterms:W3CDTF">2025-11-23T15:29:24Z</dcterms:modified>
  <cp:category/>
  <cp:contentStatus/>
</cp:coreProperties>
</file>