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e188bf86570271f/Documents/YEAR 3/Structural Mechanics and Dynamics 3/Structural Mechanics Lab Report/"/>
    </mc:Choice>
  </mc:AlternateContent>
  <xr:revisionPtr revIDLastSave="140" documentId="11_0B1D56BE9CDCCE836B02CE7A5FB0D4A9BBFD1C62" xr6:coauthVersionLast="47" xr6:coauthVersionMax="47" xr10:uidLastSave="{212A0C10-9952-4EE0-AAE6-6EADC2DBC061}"/>
  <bookViews>
    <workbookView xWindow="20" yWindow="20" windowWidth="19180" windowHeight="100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3" i="1"/>
  <c r="K4" i="1"/>
  <c r="K5" i="1"/>
  <c r="K6" i="1"/>
  <c r="K7" i="1"/>
  <c r="K3" i="1"/>
  <c r="H4" i="1"/>
  <c r="H5" i="1"/>
  <c r="H6" i="1"/>
  <c r="H7" i="1"/>
  <c r="H3" i="1"/>
  <c r="I3" i="1"/>
  <c r="H2" i="1"/>
  <c r="E3" i="1"/>
  <c r="E4" i="1"/>
  <c r="E5" i="1"/>
  <c r="E6" i="1"/>
  <c r="E7" i="1"/>
  <c r="E2" i="1"/>
  <c r="B4" i="1"/>
  <c r="I4" i="1" s="1"/>
  <c r="B5" i="1"/>
  <c r="I5" i="1" s="1"/>
  <c r="B6" i="1"/>
  <c r="I6" i="1" s="1"/>
  <c r="B7" i="1"/>
  <c r="I7" i="1" s="1"/>
  <c r="B3" i="1"/>
</calcChain>
</file>

<file path=xl/sharedStrings.xml><?xml version="1.0" encoding="utf-8"?>
<sst xmlns="http://schemas.openxmlformats.org/spreadsheetml/2006/main" count="11" uniqueCount="11">
  <si>
    <t>Offset Weight (N)</t>
  </si>
  <si>
    <t>Weight</t>
  </si>
  <si>
    <t>H_D 1</t>
  </si>
  <si>
    <t>H_D 2</t>
  </si>
  <si>
    <t>Mean H_D</t>
  </si>
  <si>
    <t>V_D 1</t>
  </si>
  <si>
    <t>V_D 2</t>
  </si>
  <si>
    <t>Mean V_D</t>
  </si>
  <si>
    <t>Error in Weight</t>
  </si>
  <si>
    <t>Error in H_D</t>
  </si>
  <si>
    <t>Error in V_D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</si>
</sst>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8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D1" workbookViewId="0">
      <selection activeCell="J3" sqref="J3"/>
    </sheetView>
  </sheetViews>
  <sheetFormatPr defaultColWidth="9.1796875" defaultRowHeight="14.5" x14ac:dyDescent="0.35"/>
  <cols>
    <col min="1" max="1" width="16" style="1" bestFit="1" customWidth="1"/>
    <col min="2" max="2" width="10.453125" style="1" bestFit="1" customWidth="1"/>
    <col min="3" max="3" width="21" style="2" bestFit="1" customWidth="1"/>
    <col min="4" max="5" width="19.54296875" style="2" customWidth="1"/>
    <col min="6" max="6" width="17.1796875" style="2" bestFit="1" customWidth="1"/>
    <col min="7" max="7" width="17.1796875" style="2" customWidth="1"/>
    <col min="8" max="8" width="13.7265625" style="3" bestFit="1" customWidth="1"/>
    <col min="9" max="9" width="16.7265625" style="2" bestFit="1" customWidth="1"/>
    <col min="10" max="10" width="11.26953125" style="2" bestFit="1" customWidth="1"/>
    <col min="11" max="11" width="11" style="2" bestFit="1" customWidth="1"/>
    <col min="12" max="16384" width="9.1796875" style="2"/>
  </cols>
  <sheetData>
    <row r="1" spans="1:1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 spans="1:11" x14ac:dyDescent="0.35">
      <c r="A2" s="1">
        <v>0</v>
      </c>
      <c r="B2" s="1">
        <v>0</v>
      </c>
      <c r="C2" s="2">
        <v>-1.4999999999999999E-4</v>
      </c>
      <c r="D2" s="2">
        <v>2.0000000000000002E-5</v>
      </c>
      <c r="E2" s="2">
        <f>AVERAGE(C2:D2)</f>
        <v>-6.4999999999999994E-5</v>
      </c>
      <c r="F2" s="2">
        <v>-5.0000000000000002E-5</v>
      </c>
      <c r="G2" s="2">
        <v>5.0000000000000002E-5</v>
      </c>
      <c r="H2" s="2">
        <f>F2+G2</f>
        <v>0</v>
      </c>
      <c r="I2" s="2">
        <v>0</v>
      </c>
      <c r="J2" s="3">
        <v>0</v>
      </c>
      <c r="K2" s="2">
        <v>0</v>
      </c>
    </row>
    <row r="3" spans="1:11" x14ac:dyDescent="0.35">
      <c r="A3" s="1">
        <v>2</v>
      </c>
      <c r="B3" s="1">
        <f>A3+9.81*0.1</f>
        <v>2.9809999999999999</v>
      </c>
      <c r="C3" s="2">
        <v>7.1000000000000002E-4</v>
      </c>
      <c r="D3" s="2">
        <v>1.33E-3</v>
      </c>
      <c r="E3" s="2">
        <f t="shared" ref="E3:E7" si="0">AVERAGE(C3:D3)</f>
        <v>1.0200000000000001E-3</v>
      </c>
      <c r="F3" s="2">
        <v>6.7000000000000002E-4</v>
      </c>
      <c r="G3" s="2">
        <v>1.0499999999999999E-3</v>
      </c>
      <c r="H3" s="2">
        <f>(F3+G3)/2</f>
        <v>8.5999999999999998E-4</v>
      </c>
      <c r="I3" s="3">
        <f>(0.001/0.1 * 0.981)/B3</f>
        <v>3.290841999329084E-3</v>
      </c>
      <c r="J3" s="4">
        <f>ABS(D3-C3)/(2)</f>
        <v>3.1E-4</v>
      </c>
      <c r="K3" s="4">
        <f>ABS(G3-F3)/(2)</f>
        <v>1.8999999999999996E-4</v>
      </c>
    </row>
    <row r="4" spans="1:11" x14ac:dyDescent="0.35">
      <c r="A4" s="1">
        <v>4</v>
      </c>
      <c r="B4" s="1">
        <f t="shared" ref="B4:B7" si="1">A4+9.81*0.1</f>
        <v>4.9809999999999999</v>
      </c>
      <c r="C4" s="2">
        <v>2.0799999999999998E-3</v>
      </c>
      <c r="D4" s="2">
        <v>2.4199999999999998E-3</v>
      </c>
      <c r="E4" s="2">
        <f t="shared" si="0"/>
        <v>2.2499999999999998E-3</v>
      </c>
      <c r="F4" s="2">
        <v>1.7700000000000001E-3</v>
      </c>
      <c r="G4" s="2">
        <v>1.9499999999999999E-3</v>
      </c>
      <c r="H4" s="2">
        <f t="shared" ref="H4:H7" si="2">(F4+G4)/2</f>
        <v>1.8600000000000001E-3</v>
      </c>
      <c r="I4" s="3">
        <f>(0.001/0.1 * 0.981)/B4</f>
        <v>1.9694840393495281E-3</v>
      </c>
      <c r="J4" s="4">
        <f t="shared" ref="J4:J7" si="3">ABS(D4-C4)/(2)</f>
        <v>1.7000000000000001E-4</v>
      </c>
      <c r="K4" s="4">
        <f t="shared" ref="K4:K7" si="4">ABS(G4-F4)/(2)</f>
        <v>8.9999999999999911E-5</v>
      </c>
    </row>
    <row r="5" spans="1:11" x14ac:dyDescent="0.35">
      <c r="A5" s="1">
        <v>6</v>
      </c>
      <c r="B5" s="1">
        <f t="shared" si="1"/>
        <v>6.9809999999999999</v>
      </c>
      <c r="C5" s="2">
        <v>3.0799999999999998E-3</v>
      </c>
      <c r="D5" s="2">
        <v>3.7699999999999999E-3</v>
      </c>
      <c r="E5" s="2">
        <f t="shared" si="0"/>
        <v>3.4250000000000001E-3</v>
      </c>
      <c r="F5" s="2">
        <v>2.64E-3</v>
      </c>
      <c r="G5" s="2">
        <v>3.0200000000000001E-3</v>
      </c>
      <c r="H5" s="2">
        <f t="shared" si="2"/>
        <v>2.8300000000000001E-3</v>
      </c>
      <c r="I5" s="3">
        <f>(0.001/0.1 * 0.981)/B5</f>
        <v>1.4052428018908466E-3</v>
      </c>
      <c r="J5" s="4">
        <f t="shared" si="3"/>
        <v>3.4500000000000004E-4</v>
      </c>
      <c r="K5" s="4">
        <f t="shared" si="4"/>
        <v>1.9000000000000006E-4</v>
      </c>
    </row>
    <row r="6" spans="1:11" x14ac:dyDescent="0.35">
      <c r="A6" s="1">
        <v>8</v>
      </c>
      <c r="B6" s="1">
        <f t="shared" si="1"/>
        <v>8.9809999999999999</v>
      </c>
      <c r="C6" s="2">
        <v>4.1700000000000001E-3</v>
      </c>
      <c r="D6" s="2">
        <v>5.0600000000000003E-3</v>
      </c>
      <c r="E6" s="2">
        <f t="shared" si="0"/>
        <v>4.6150000000000002E-3</v>
      </c>
      <c r="F6" s="2">
        <v>3.5500000000000002E-3</v>
      </c>
      <c r="G6" s="2">
        <v>4.0400000000000002E-3</v>
      </c>
      <c r="H6" s="2">
        <f t="shared" si="2"/>
        <v>3.7950000000000002E-3</v>
      </c>
      <c r="I6" s="3">
        <f>(0.001/0.1 * 0.981)/B6</f>
        <v>1.0923059792896114E-3</v>
      </c>
      <c r="J6" s="4">
        <f t="shared" si="3"/>
        <v>4.4500000000000008E-4</v>
      </c>
      <c r="K6" s="4">
        <f t="shared" si="4"/>
        <v>2.4499999999999999E-4</v>
      </c>
    </row>
    <row r="7" spans="1:11" x14ac:dyDescent="0.35">
      <c r="A7" s="1">
        <v>9.8239999999999998</v>
      </c>
      <c r="B7" s="1">
        <f t="shared" si="1"/>
        <v>10.805</v>
      </c>
      <c r="C7" s="2">
        <v>5.45E-3</v>
      </c>
      <c r="D7" s="2">
        <v>5.3800000000000002E-3</v>
      </c>
      <c r="E7" s="2">
        <f t="shared" si="0"/>
        <v>5.4149999999999997E-3</v>
      </c>
      <c r="F7" s="2">
        <v>4.4999999999999997E-3</v>
      </c>
      <c r="G7" s="2">
        <v>4.5100000000000001E-3</v>
      </c>
      <c r="H7" s="2">
        <f t="shared" si="2"/>
        <v>4.5050000000000003E-3</v>
      </c>
      <c r="I7" s="3">
        <f>(0.001/0.1 * 0.981)/B7</f>
        <v>9.0791300323924101E-4</v>
      </c>
      <c r="J7" s="4">
        <f t="shared" si="3"/>
        <v>3.4999999999999875E-5</v>
      </c>
      <c r="K7" s="4">
        <f t="shared" si="4"/>
        <v>5.00000000000023E-6</v>
      </c>
    </row>
    <row r="8" spans="1:11" x14ac:dyDescent="0.35">
      <c r="H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Raven Callaghan</cp:lastModifiedBy>
  <cp:revision/>
  <dcterms:created xsi:type="dcterms:W3CDTF">2025-11-16T16:29:05Z</dcterms:created>
  <dcterms:modified xsi:type="dcterms:W3CDTF">2025-11-17T00:26:21Z</dcterms:modified>
  <cp:category/>
  <cp:contentStatus/>
</cp:coreProperties>
</file>